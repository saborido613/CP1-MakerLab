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bsfiap\Downloads\"/>
    </mc:Choice>
  </mc:AlternateContent>
  <xr:revisionPtr revIDLastSave="0" documentId="13_ncr:1_{BAA852AE-D9D0-4F81-BDE5-70110D46812F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Custos Carrinho 2WD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1" l="1"/>
  <c r="F9" i="1"/>
  <c r="F8" i="1"/>
  <c r="F7" i="1"/>
  <c r="F6" i="1"/>
  <c r="F5" i="1"/>
  <c r="F4" i="1"/>
  <c r="F11" i="1" l="1"/>
</calcChain>
</file>

<file path=xl/sharedStrings.xml><?xml version="1.0" encoding="utf-8"?>
<sst xmlns="http://schemas.openxmlformats.org/spreadsheetml/2006/main" count="28" uniqueCount="28">
  <si>
    <t>Custos de Compra — Carrinho 2WD (Instituto Digital)</t>
  </si>
  <si>
    <t>Item</t>
  </si>
  <si>
    <t>Produto</t>
  </si>
  <si>
    <t>Preço (R$)</t>
  </si>
  <si>
    <t>Preço no Pix (R$)</t>
  </si>
  <si>
    <t>Qtd</t>
  </si>
  <si>
    <t>Subtotal (Preço normal)</t>
  </si>
  <si>
    <t>Link</t>
  </si>
  <si>
    <t>ESP32</t>
  </si>
  <si>
    <t>Módulo ESP32 WiFi – Bluetooth 30 pinos</t>
  </si>
  <si>
    <t>https://institutodigital.com.br/produto/modulo-esp32-wifi-bluetooth-30-pinos/</t>
  </si>
  <si>
    <t>Chassi 2WD</t>
  </si>
  <si>
    <t>Kit Chassi 2WD Robô para Arduino (inclui 2 motores DC, 2 rodas e roda boba)</t>
  </si>
  <si>
    <t>https://institutodigital.com.br/produto/kit-chassi-2wd-robo-para-arduino/</t>
  </si>
  <si>
    <t>Ponte H</t>
  </si>
  <si>
    <t>Driver Motor Ponte H L298N para Arduino</t>
  </si>
  <si>
    <t>https://institutodigital.com.br/produto/driver-motor-ponte-h-l298n-para-arduino/</t>
  </si>
  <si>
    <t>Jumper M/F</t>
  </si>
  <si>
    <t>Jumper macho/fêmea 20cm x 20 unidades</t>
  </si>
  <si>
    <t>https://institutodigital.com.br/produto/jumper-macho-femea-20cm-x-20-unidades/</t>
  </si>
  <si>
    <t>Jumper F/F</t>
  </si>
  <si>
    <t>Jumper Fêmea/Fêmea 20cm x 20 unidades</t>
  </si>
  <si>
    <t>https://institutodigital.com.br/produto/jumper-femea-femea-20-x-unidades-20cm/</t>
  </si>
  <si>
    <t>Sensor Ultrassônico</t>
  </si>
  <si>
    <t>Sensor Distância Ultrassônico HC-SR04</t>
  </si>
  <si>
    <t>https://institutodigital.com.br/produto/sensor-distancia-ultrassonico-hc-sr04/</t>
  </si>
  <si>
    <t>TOTAL (Preço normal)</t>
  </si>
  <si>
    <t>TOTAL (no Pix)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</si>
</sst>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u/>
      <sz val="9"/>
      <color rgb="FF0563C1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6" fillId="0" borderId="0" xfId="0" applyFont="1" applyBorder="1"/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titutodigital.com.br/produto/driver-motor-ponte-h-l298n-para-arduino/" TargetMode="External"/><Relationship Id="rId2" Type="http://schemas.openxmlformats.org/officeDocument/2006/relationships/hyperlink" Target="https://institutodigital.com.br/produto/kit-chassi-2wd-robo-para-arduino/" TargetMode="External"/><Relationship Id="rId1" Type="http://schemas.openxmlformats.org/officeDocument/2006/relationships/hyperlink" Target="https://institutodigital.com.br/produto/modulo-esp32-wifi-bluetooth-30-pinos/" TargetMode="External"/><Relationship Id="rId6" Type="http://schemas.openxmlformats.org/officeDocument/2006/relationships/hyperlink" Target="https://institutodigital.com.br/produto/sensor-distancia-ultrassonico-hc-sr04/" TargetMode="External"/><Relationship Id="rId5" Type="http://schemas.openxmlformats.org/officeDocument/2006/relationships/hyperlink" Target="https://institutodigital.com.br/produto/jumper-femea-femea-20-x-unidades-20cm/" TargetMode="External"/><Relationship Id="rId4" Type="http://schemas.openxmlformats.org/officeDocument/2006/relationships/hyperlink" Target="https://institutodigital.com.br/produto/jumper-macho-femea-20cm-x-20-unidad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Normal="100" workbookViewId="0">
      <pane ySplit="3" topLeftCell="A4" activePane="bottomLeft" state="frozen"/>
      <selection pane="bottomLeft" activeCell="F18" sqref="F18"/>
    </sheetView>
  </sheetViews>
  <sheetFormatPr defaultColWidth="8.7109375" defaultRowHeight="15" x14ac:dyDescent="0.25"/>
  <cols>
    <col min="1" max="1" width="18" customWidth="1"/>
    <col min="2" max="2" width="44" customWidth="1"/>
    <col min="3" max="3" width="12" customWidth="1"/>
    <col min="4" max="4" width="15" customWidth="1"/>
    <col min="5" max="5" width="6" customWidth="1"/>
    <col min="6" max="6" width="20" customWidth="1"/>
    <col min="7" max="7" width="42" customWidth="1"/>
  </cols>
  <sheetData>
    <row r="1" spans="1:7" ht="21.75" customHeight="1" x14ac:dyDescent="0.25">
      <c r="A1" s="2" t="s">
        <v>0</v>
      </c>
      <c r="B1" s="2"/>
      <c r="C1" s="2"/>
      <c r="D1" s="2"/>
      <c r="E1" s="2"/>
      <c r="F1" s="2"/>
      <c r="G1" s="2"/>
    </row>
    <row r="3" spans="1:7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5">
      <c r="A4" s="4" t="s">
        <v>8</v>
      </c>
      <c r="B4" s="5" t="s">
        <v>9</v>
      </c>
      <c r="C4" s="6">
        <v>46.9</v>
      </c>
      <c r="D4" s="6">
        <v>44.56</v>
      </c>
      <c r="E4" s="7">
        <v>1</v>
      </c>
      <c r="F4" s="6">
        <f t="shared" ref="F4:F9" si="0">C4*E4</f>
        <v>46.9</v>
      </c>
      <c r="G4" s="8" t="s">
        <v>10</v>
      </c>
    </row>
    <row r="5" spans="1:7" ht="25.5" x14ac:dyDescent="0.25">
      <c r="A5" s="4" t="s">
        <v>11</v>
      </c>
      <c r="B5" s="5" t="s">
        <v>12</v>
      </c>
      <c r="C5" s="6">
        <v>45.9</v>
      </c>
      <c r="D5" s="6">
        <v>43.61</v>
      </c>
      <c r="E5" s="7">
        <v>1</v>
      </c>
      <c r="F5" s="6">
        <f t="shared" si="0"/>
        <v>45.9</v>
      </c>
      <c r="G5" s="8" t="s">
        <v>13</v>
      </c>
    </row>
    <row r="6" spans="1:7" x14ac:dyDescent="0.25">
      <c r="A6" s="4" t="s">
        <v>14</v>
      </c>
      <c r="B6" s="5" t="s">
        <v>15</v>
      </c>
      <c r="C6" s="6">
        <v>13.85</v>
      </c>
      <c r="D6" s="6">
        <v>13.16</v>
      </c>
      <c r="E6" s="7">
        <v>1</v>
      </c>
      <c r="F6" s="6">
        <f t="shared" si="0"/>
        <v>13.85</v>
      </c>
      <c r="G6" s="8" t="s">
        <v>16</v>
      </c>
    </row>
    <row r="7" spans="1:7" x14ac:dyDescent="0.25">
      <c r="A7" s="4" t="s">
        <v>17</v>
      </c>
      <c r="B7" s="5" t="s">
        <v>18</v>
      </c>
      <c r="C7" s="6">
        <v>3.68</v>
      </c>
      <c r="D7" s="6">
        <v>3.5</v>
      </c>
      <c r="E7" s="7">
        <v>1</v>
      </c>
      <c r="F7" s="6">
        <f t="shared" si="0"/>
        <v>3.68</v>
      </c>
      <c r="G7" s="8" t="s">
        <v>19</v>
      </c>
    </row>
    <row r="8" spans="1:7" x14ac:dyDescent="0.25">
      <c r="A8" s="4" t="s">
        <v>20</v>
      </c>
      <c r="B8" s="5" t="s">
        <v>21</v>
      </c>
      <c r="C8" s="6">
        <v>3.08</v>
      </c>
      <c r="D8" s="6">
        <v>2.93</v>
      </c>
      <c r="E8" s="7">
        <v>1</v>
      </c>
      <c r="F8" s="6">
        <f t="shared" si="0"/>
        <v>3.08</v>
      </c>
      <c r="G8" s="8" t="s">
        <v>22</v>
      </c>
    </row>
    <row r="9" spans="1:7" x14ac:dyDescent="0.25">
      <c r="A9" s="4" t="s">
        <v>23</v>
      </c>
      <c r="B9" s="5" t="s">
        <v>24</v>
      </c>
      <c r="C9" s="6">
        <v>8.6999999999999993</v>
      </c>
      <c r="D9" s="6">
        <v>8.27</v>
      </c>
      <c r="E9" s="7">
        <v>1</v>
      </c>
      <c r="F9" s="6">
        <f t="shared" si="0"/>
        <v>8.6999999999999993</v>
      </c>
      <c r="G9" s="8" t="s">
        <v>25</v>
      </c>
    </row>
    <row r="11" spans="1:7" x14ac:dyDescent="0.25">
      <c r="B11" s="9" t="s">
        <v>26</v>
      </c>
      <c r="F11" s="10">
        <f>SUM(F4:F9)</f>
        <v>122.11</v>
      </c>
    </row>
    <row r="12" spans="1:7" x14ac:dyDescent="0.25">
      <c r="B12" s="9" t="s">
        <v>27</v>
      </c>
      <c r="D12" s="10">
        <f>SUM(D4:D9)</f>
        <v>116.03</v>
      </c>
    </row>
    <row r="14" spans="1:7" x14ac:dyDescent="0.25">
      <c r="A14" s="9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</sheetData>
  <mergeCells count="4">
    <mergeCell ref="A1:G1"/>
    <mergeCell ref="A15:G15"/>
    <mergeCell ref="A16:G16"/>
    <mergeCell ref="A17:G17"/>
  </mergeCells>
  <hyperlinks>
    <hyperlink ref="G4" r:id="rId1" xr:uid="{00000000-0004-0000-0000-000000000000}"/>
    <hyperlink ref="G5" r:id="rId2" xr:uid="{00000000-0004-0000-0000-000001000000}"/>
    <hyperlink ref="G6" r:id="rId3" xr:uid="{00000000-0004-0000-0000-000002000000}"/>
    <hyperlink ref="G7" r:id="rId4" xr:uid="{00000000-0004-0000-0000-000003000000}"/>
    <hyperlink ref="G8" r:id="rId5" xr:uid="{00000000-0004-0000-0000-000004000000}"/>
    <hyperlink ref="G9" r:id="rId6" xr:uid="{00000000-0004-0000-0000-000005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Custos Carrinho 2WD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Laboratório FIAP</cp:lastModifiedBy>
  <cp:revision>0</cp:revision>
  <dcterms:created xsi:type="dcterms:W3CDTF">2026-08-29T01:00:59Z</dcterms:created>
  <dcterms:modified xsi:type="dcterms:W3CDTF">2026-08-29T01:01:50Z</dcterms:modified>
  <dc:language>en-US</dc:language>
</cp:coreProperties>
</file>